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Budget Planning" sheetId="2" r:id="rId6"/>
  </sheets>
  <definedNames/>
  <calcPr/>
</workbook>
</file>

<file path=xl/sharedStrings.xml><?xml version="1.0" encoding="utf-8"?>
<sst xmlns="http://schemas.openxmlformats.org/spreadsheetml/2006/main" count="63" uniqueCount="59">
  <si>
    <t>Group Members</t>
  </si>
  <si>
    <t>Student ID</t>
  </si>
  <si>
    <t>Project Role</t>
  </si>
  <si>
    <t>Tolga Ertunç</t>
  </si>
  <si>
    <t xml:space="preserve">B2280.060052 </t>
  </si>
  <si>
    <t>Database &amp; Testing</t>
  </si>
  <si>
    <t>İlke Görkem Şahin</t>
  </si>
  <si>
    <t>B2180.060042</t>
  </si>
  <si>
    <t>Backend Developer</t>
  </si>
  <si>
    <t>Project Name</t>
  </si>
  <si>
    <t xml:space="preserve">Smart Barber Booking System </t>
  </si>
  <si>
    <t>Overview</t>
  </si>
  <si>
    <t>The system is a cloud-based platform built on an N-Tier architecture designed to digitize traditional barbershop operations. It features 24/7 online booking, automated notifications, and an AI-powered hairstyle preview module using Python. By leveraging .NET Web API, React 18, and PostgreSQL, the system eliminates double-booking conflicts and improves operational efficiency.</t>
  </si>
  <si>
    <t>Phases</t>
  </si>
  <si>
    <t>Timeline</t>
  </si>
  <si>
    <t xml:space="preserve">Tasks </t>
  </si>
  <si>
    <r>
      <rPr>
        <rFont val="Arial"/>
        <b/>
        <color rgb="FF1F1F1F"/>
        <sz val="11.0"/>
      </rPr>
      <t>Phase 1: Core Infrastructure</t>
    </r>
    <r>
      <rPr>
        <rFont val="Arial"/>
        <b val="0"/>
        <color rgb="FF1F1F1F"/>
        <sz val="11.0"/>
      </rPr>
      <t xml:space="preserve"> </t>
    </r>
  </si>
  <si>
    <t>Week 1 - 2</t>
  </si>
  <si>
    <t>Database schema creation and initial configuration.</t>
  </si>
  <si>
    <t>Week 3</t>
  </si>
  <si>
    <t>Implementation of the conflict prevention algorithm.</t>
  </si>
  <si>
    <t>Week 4</t>
  </si>
  <si>
    <t>Coding core API endpoints for authentication and slots.</t>
  </si>
  <si>
    <r>
      <rPr>
        <rFont val="Arial"/>
        <b/>
        <color rgb="FF1F1F1F"/>
        <sz val="11.0"/>
      </rPr>
      <t>Phase 2: User Interfaces</t>
    </r>
    <r>
      <rPr>
        <rFont val="Arial"/>
        <b val="0"/>
        <color rgb="FF1F1F1F"/>
        <sz val="11.0"/>
      </rPr>
      <t xml:space="preserve"> </t>
    </r>
  </si>
  <si>
    <t>Week 5 - 6</t>
  </si>
  <si>
    <t>Designing and building the customer booking portal.</t>
  </si>
  <si>
    <t>Week 7 - 8</t>
  </si>
  <si>
    <t>Developing the admin dashboard for management.</t>
  </si>
  <si>
    <t>Week 9</t>
  </si>
  <si>
    <t>Integrating responsive design across all devices.</t>
  </si>
  <si>
    <r>
      <rPr>
        <rFont val="Arial"/>
        <b/>
        <color rgb="FF1F1F1F"/>
        <sz val="11.0"/>
      </rPr>
      <t>Phase 3: AI Integration</t>
    </r>
    <r>
      <rPr>
        <rFont val="Arial"/>
        <b val="0"/>
        <color rgb="FF1F1F1F"/>
        <sz val="11.0"/>
      </rPr>
      <t xml:space="preserve"> </t>
    </r>
  </si>
  <si>
    <t>Week 10 - 11</t>
  </si>
  <si>
    <t>Integrating the Python image processing service.</t>
  </si>
  <si>
    <t>Week 12 - 13</t>
  </si>
  <si>
    <t>Implementing photo upload and privacy modules (24h auto-delete).</t>
  </si>
  <si>
    <r>
      <rPr>
        <rFont val="Arial"/>
        <b/>
        <color rgb="FF1F1F1F"/>
        <sz val="11.0"/>
      </rPr>
      <t>Phase 4: Testing &amp; Launch</t>
    </r>
    <r>
      <rPr>
        <rFont val="Arial"/>
        <b val="0"/>
        <color rgb="FF1F1F1F"/>
        <sz val="11.0"/>
      </rPr>
      <t xml:space="preserve"> </t>
    </r>
  </si>
  <si>
    <t>Week 14 - 15</t>
  </si>
  <si>
    <t>Unit, Integration, and User Acceptance Testing (UAT).</t>
  </si>
  <si>
    <t xml:space="preserve">   Week 16</t>
  </si>
  <si>
    <t>Production deployment using Docker containers.</t>
  </si>
  <si>
    <t>Time Budget</t>
  </si>
  <si>
    <t>16 Weeks total development cycle (4 Sprints/Phases). Break-even expected within 6 months of deployment.</t>
  </si>
  <si>
    <t>Tech Resources</t>
  </si>
  <si>
    <t>Frontend: React 18, Tailwind CSS.</t>
  </si>
  <si>
    <t>Backend: .NET Web API (C#), Python (AI Service).</t>
  </si>
  <si>
    <t>Database &amp; Cache: PostgreSQL, Redis.</t>
  </si>
  <si>
    <t>Cloud &amp; Deployment: Docker, AWS S3 (Storage).</t>
  </si>
  <si>
    <t>Resource Type</t>
  </si>
  <si>
    <t>Member</t>
  </si>
  <si>
    <t>Role</t>
  </si>
  <si>
    <t>Estimated Hours</t>
  </si>
  <si>
    <t>Cost per Hour</t>
  </si>
  <si>
    <t>Total Cost</t>
  </si>
  <si>
    <t>Development</t>
  </si>
  <si>
    <t>İlke Ş.</t>
  </si>
  <si>
    <t>Tolga E.</t>
  </si>
  <si>
    <t>Infrastructure</t>
  </si>
  <si>
    <t>Cloud Hosting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</si>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</sst>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₺]#,##0.00"/>
  </numFmts>
  <fonts count="8">
    <font>
      <sz val="11.0"/>
      <color theme="1"/>
      <name val="Calibri"/>
      <scheme val="minor"/>
    </font>
    <font>
      <b/>
      <sz val="11.0"/>
      <color rgb="FF1F1F1F"/>
      <name val="Arial"/>
    </font>
    <font>
      <sz val="11.0"/>
      <color rgb="FF1F1F1F"/>
      <name val="Arial"/>
    </font>
    <font>
      <sz val="11.0"/>
      <color theme="1"/>
      <name val="Calibri"/>
    </font>
    <font/>
    <font>
      <sz val="11.0"/>
      <color rgb="FF444746"/>
      <name val="Arial"/>
    </font>
    <font>
      <b/>
      <sz val="15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2" fillId="0" fontId="1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center"/>
    </xf>
    <xf borderId="3" fillId="0" fontId="4" numFmtId="0" xfId="0" applyBorder="1" applyFont="1"/>
    <xf borderId="2" fillId="0" fontId="5" numFmtId="0" xfId="0" applyAlignment="1" applyBorder="1" applyFont="1">
      <alignment horizontal="center" readingOrder="1" shrinkToFit="0" vertical="center" wrapText="1"/>
    </xf>
    <xf borderId="2" fillId="0" fontId="3" numFmtId="0" xfId="0" applyAlignment="1" applyBorder="1" applyFont="1">
      <alignment horizontal="center"/>
    </xf>
    <xf borderId="4" fillId="0" fontId="4" numFmtId="0" xfId="0" applyBorder="1" applyFont="1"/>
    <xf borderId="2" fillId="0" fontId="2" numFmtId="0" xfId="0" applyAlignment="1" applyBorder="1" applyFont="1">
      <alignment horizontal="center" readingOrder="1" shrinkToFit="0" vertical="center" wrapText="1"/>
    </xf>
    <xf borderId="5" fillId="0" fontId="2" numFmtId="0" xfId="0" applyAlignment="1" applyBorder="1" applyFont="1">
      <alignment horizontal="center" readingOrder="1" shrinkToFit="0" vertical="center" wrapText="1"/>
    </xf>
    <xf borderId="5" fillId="0" fontId="5" numFmtId="0" xfId="0" applyAlignment="1" applyBorder="1" applyFont="1">
      <alignment horizontal="center" readingOrder="1" shrinkToFit="0" vertical="center" wrapText="1"/>
    </xf>
    <xf borderId="0" fillId="2" fontId="6" numFmtId="0" xfId="0" applyAlignment="1" applyFill="1" applyFont="1">
      <alignment horizontal="center" shrinkToFit="0" wrapText="1"/>
    </xf>
    <xf borderId="0" fillId="2" fontId="6" numFmtId="164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wrapText="1"/>
    </xf>
    <xf borderId="0" fillId="0" fontId="7" numFmtId="164" xfId="0" applyAlignment="1" applyFont="1" applyNumberForma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164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2.57"/>
    <col customWidth="1" min="3" max="3" width="55.43"/>
    <col customWidth="1" min="4" max="4" width="9.14"/>
    <col customWidth="1" min="5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1" t="s">
        <v>9</v>
      </c>
      <c r="B4" s="1" t="s">
        <v>10</v>
      </c>
      <c r="C4" s="2"/>
    </row>
    <row r="5" ht="114.75" customHeight="1">
      <c r="A5" s="4" t="s">
        <v>11</v>
      </c>
      <c r="B5" s="2" t="s">
        <v>12</v>
      </c>
      <c r="C5" s="5"/>
    </row>
    <row r="6" hidden="1">
      <c r="A6" s="6"/>
      <c r="B6" s="7"/>
      <c r="C6" s="8"/>
    </row>
    <row r="7">
      <c r="A7" s="1" t="s">
        <v>13</v>
      </c>
      <c r="B7" s="1" t="s">
        <v>14</v>
      </c>
      <c r="C7" s="1" t="s">
        <v>15</v>
      </c>
    </row>
    <row r="8" ht="30.0" customHeight="1">
      <c r="A8" s="4" t="s">
        <v>16</v>
      </c>
      <c r="B8" s="2" t="s">
        <v>17</v>
      </c>
      <c r="C8" s="2" t="s">
        <v>18</v>
      </c>
    </row>
    <row r="9">
      <c r="A9" s="9"/>
      <c r="B9" s="2" t="s">
        <v>19</v>
      </c>
      <c r="C9" s="2" t="s">
        <v>20</v>
      </c>
    </row>
    <row r="10">
      <c r="A10" s="6"/>
      <c r="B10" s="2" t="s">
        <v>21</v>
      </c>
      <c r="C10" s="2" t="s">
        <v>22</v>
      </c>
    </row>
    <row r="11" ht="30.0" customHeight="1">
      <c r="A11" s="4" t="s">
        <v>23</v>
      </c>
      <c r="B11" s="2" t="s">
        <v>24</v>
      </c>
      <c r="C11" s="2" t="s">
        <v>25</v>
      </c>
    </row>
    <row r="12">
      <c r="A12" s="9"/>
      <c r="B12" s="2" t="s">
        <v>26</v>
      </c>
      <c r="C12" s="2" t="s">
        <v>27</v>
      </c>
    </row>
    <row r="13">
      <c r="A13" s="6"/>
      <c r="B13" s="2" t="s">
        <v>28</v>
      </c>
      <c r="C13" s="2" t="s">
        <v>29</v>
      </c>
    </row>
    <row r="14" ht="30.0" customHeight="1">
      <c r="A14" s="4" t="s">
        <v>30</v>
      </c>
      <c r="B14" s="2" t="s">
        <v>31</v>
      </c>
      <c r="C14" s="2" t="s">
        <v>32</v>
      </c>
    </row>
    <row r="15" ht="28.5" customHeight="1">
      <c r="A15" s="9"/>
      <c r="B15" s="10" t="s">
        <v>33</v>
      </c>
      <c r="C15" s="10" t="s">
        <v>34</v>
      </c>
    </row>
    <row r="16">
      <c r="A16" s="6"/>
      <c r="B16" s="6"/>
      <c r="C16" s="6"/>
    </row>
    <row r="17" ht="15.0" customHeight="1">
      <c r="A17" s="4" t="s">
        <v>35</v>
      </c>
      <c r="B17" s="10" t="s">
        <v>36</v>
      </c>
      <c r="C17" s="10" t="s">
        <v>37</v>
      </c>
    </row>
    <row r="18">
      <c r="A18" s="9"/>
      <c r="B18" s="6"/>
      <c r="C18" s="6"/>
    </row>
    <row r="19">
      <c r="A19" s="9"/>
      <c r="B19" s="10" t="s">
        <v>38</v>
      </c>
      <c r="C19" s="10" t="s">
        <v>39</v>
      </c>
    </row>
    <row r="20">
      <c r="A20" s="9"/>
      <c r="B20" s="9"/>
      <c r="C20" s="9"/>
    </row>
    <row r="21" ht="15.75" customHeight="1">
      <c r="A21" s="6"/>
      <c r="B21" s="6"/>
      <c r="C21" s="6"/>
    </row>
    <row r="22" ht="15.75" customHeight="1">
      <c r="A22" s="1"/>
      <c r="B22" s="1"/>
      <c r="C22" s="5"/>
    </row>
    <row r="23" ht="42.75" customHeight="1">
      <c r="A23" s="4" t="s">
        <v>40</v>
      </c>
      <c r="B23" s="10" t="s">
        <v>41</v>
      </c>
      <c r="C23" s="8"/>
    </row>
    <row r="24" ht="15.75" customHeight="1">
      <c r="A24" s="6"/>
      <c r="B24" s="6"/>
      <c r="C24" s="6"/>
    </row>
    <row r="25" ht="15.75" customHeight="1">
      <c r="A25" s="4" t="s">
        <v>42</v>
      </c>
      <c r="B25" s="11" t="s">
        <v>43</v>
      </c>
      <c r="C25" s="5"/>
    </row>
    <row r="26" ht="15.75" customHeight="1">
      <c r="A26" s="9"/>
      <c r="B26" s="12" t="s">
        <v>44</v>
      </c>
      <c r="C26" s="5"/>
    </row>
    <row r="27" ht="15.75" customHeight="1">
      <c r="A27" s="9"/>
      <c r="B27" s="11" t="s">
        <v>45</v>
      </c>
      <c r="C27" s="5"/>
    </row>
    <row r="28" ht="15.75" customHeight="1">
      <c r="A28" s="9"/>
      <c r="B28" s="11" t="s">
        <v>46</v>
      </c>
      <c r="C28" s="5"/>
    </row>
    <row r="29" ht="15.75" customHeight="1">
      <c r="A29" s="9"/>
      <c r="B29" s="11"/>
      <c r="C29" s="5"/>
    </row>
    <row r="30" ht="15.75" customHeight="1">
      <c r="A30" s="9"/>
      <c r="B30" s="11"/>
      <c r="C30" s="5"/>
    </row>
    <row r="31" ht="15.75" customHeight="1">
      <c r="A31" s="6"/>
      <c r="B31" s="12"/>
      <c r="C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7:B18"/>
    <mergeCell ref="C17:C18"/>
    <mergeCell ref="B19:B21"/>
    <mergeCell ref="C19:C21"/>
    <mergeCell ref="A23:A24"/>
    <mergeCell ref="B23:B24"/>
    <mergeCell ref="C23:C24"/>
    <mergeCell ref="A25:A31"/>
    <mergeCell ref="A5:A6"/>
    <mergeCell ref="A8:A10"/>
    <mergeCell ref="A11:A13"/>
    <mergeCell ref="A14:A16"/>
    <mergeCell ref="B15:B16"/>
    <mergeCell ref="C15:C16"/>
    <mergeCell ref="A17:A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26.57"/>
  </cols>
  <sheetData>
    <row r="1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4" t="s">
        <v>52</v>
      </c>
    </row>
    <row r="2">
      <c r="A2" s="15" t="s">
        <v>53</v>
      </c>
      <c r="B2" s="16" t="s">
        <v>54</v>
      </c>
      <c r="C2" s="16" t="s">
        <v>8</v>
      </c>
      <c r="D2" s="16">
        <v>70.0</v>
      </c>
      <c r="E2" s="16">
        <v>120.0</v>
      </c>
      <c r="F2" s="17">
        <f t="shared" ref="F2:F4" si="1">D2*E2</f>
        <v>8400</v>
      </c>
    </row>
    <row r="3">
      <c r="A3" s="15" t="s">
        <v>53</v>
      </c>
      <c r="B3" s="16" t="s">
        <v>55</v>
      </c>
      <c r="C3" s="16" t="s">
        <v>5</v>
      </c>
      <c r="D3" s="16">
        <v>50.0</v>
      </c>
      <c r="E3" s="16">
        <v>100.0</v>
      </c>
      <c r="F3" s="17">
        <f t="shared" si="1"/>
        <v>5000</v>
      </c>
    </row>
    <row r="4">
      <c r="A4" s="15" t="s">
        <v>56</v>
      </c>
      <c r="B4" s="15" t="s">
        <v>57</v>
      </c>
      <c r="C4" s="15" t="s">
        <v>57</v>
      </c>
      <c r="D4" s="16">
        <f>24*30</f>
        <v>720</v>
      </c>
      <c r="E4" s="16">
        <v>5.0</v>
      </c>
      <c r="F4" s="17">
        <f t="shared" si="1"/>
        <v>3600</v>
      </c>
    </row>
    <row r="5">
      <c r="A5" s="18" t="s">
        <v>58</v>
      </c>
      <c r="B5" s="16"/>
      <c r="C5" s="16"/>
      <c r="D5" s="16"/>
      <c r="E5" s="16"/>
      <c r="F5" s="19">
        <f>SUM(F2:F4)</f>
        <v>17000</v>
      </c>
    </row>
  </sheetData>
  <drawing r:id="rId1"/>
</worksheet>
</file>